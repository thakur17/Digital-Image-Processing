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p\"/>
    </mc:Choice>
  </mc:AlternateContent>
  <xr:revisionPtr revIDLastSave="0" documentId="13_ncr:1_{129100FE-E7E6-4049-8833-A52C7AECB348}" xr6:coauthVersionLast="47" xr6:coauthVersionMax="47" xr10:uidLastSave="{00000000-0000-0000-0000-000000000000}"/>
  <bookViews>
    <workbookView xWindow="-108" yWindow="-108" windowWidth="23256" windowHeight="12456" xr2:uid="{FFFDFCF8-4B0F-4ED4-80CC-66822EF1F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6" i="1"/>
  <c r="M10" i="1"/>
  <c r="M9" i="1"/>
  <c r="M8" i="1"/>
  <c r="M7" i="1"/>
  <c r="M6" i="1"/>
  <c r="M5" i="1"/>
  <c r="M4" i="1"/>
  <c r="M3" i="1"/>
  <c r="L10" i="1"/>
  <c r="L9" i="1"/>
  <c r="L8" i="1"/>
  <c r="L7" i="1"/>
  <c r="L6" i="1"/>
  <c r="L5" i="1"/>
  <c r="L4" i="1"/>
  <c r="L3" i="1"/>
  <c r="K6" i="1"/>
  <c r="K7" i="1" s="1"/>
  <c r="K8" i="1" s="1"/>
  <c r="K9" i="1" s="1"/>
  <c r="K10" i="1" s="1"/>
  <c r="K5" i="1"/>
  <c r="K4" i="1"/>
  <c r="K3" i="1"/>
  <c r="J10" i="1"/>
  <c r="J9" i="1"/>
  <c r="J8" i="1"/>
  <c r="J7" i="1"/>
  <c r="J6" i="1"/>
  <c r="J5" i="1"/>
  <c r="J4" i="1"/>
  <c r="J3" i="1"/>
  <c r="I11" i="1"/>
  <c r="F10" i="1"/>
  <c r="F9" i="1"/>
  <c r="F8" i="1"/>
  <c r="F7" i="1"/>
  <c r="F6" i="1"/>
  <c r="F5" i="1"/>
  <c r="F4" i="1"/>
  <c r="F3" i="1"/>
  <c r="E10" i="1"/>
  <c r="E9" i="1"/>
  <c r="E8" i="1"/>
  <c r="E7" i="1"/>
  <c r="E6" i="1"/>
  <c r="E5" i="1"/>
  <c r="E4" i="1"/>
  <c r="E3" i="1"/>
  <c r="D7" i="1"/>
  <c r="D8" i="1" s="1"/>
  <c r="D9" i="1" s="1"/>
  <c r="D10" i="1" s="1"/>
  <c r="D6" i="1"/>
  <c r="D5" i="1"/>
  <c r="D4" i="1"/>
  <c r="D3" i="1"/>
  <c r="C11" i="1"/>
  <c r="C10" i="1"/>
  <c r="C9" i="1"/>
  <c r="C8" i="1"/>
  <c r="C7" i="1"/>
  <c r="C6" i="1"/>
  <c r="C5" i="1"/>
  <c r="C4" i="1"/>
  <c r="C3" i="1"/>
  <c r="B11" i="1"/>
</calcChain>
</file>

<file path=xl/sharedStrings.xml><?xml version="1.0" encoding="utf-8"?>
<sst xmlns="http://schemas.openxmlformats.org/spreadsheetml/2006/main" count="18" uniqueCount="11">
  <si>
    <t>Rk</t>
  </si>
  <si>
    <t>Nk</t>
  </si>
  <si>
    <t>prk</t>
  </si>
  <si>
    <t>cdf</t>
  </si>
  <si>
    <t>(L-1)*CDF</t>
  </si>
  <si>
    <t>Rounding</t>
  </si>
  <si>
    <t>Original image</t>
  </si>
  <si>
    <t>Specified image</t>
  </si>
  <si>
    <t>Sk</t>
  </si>
  <si>
    <t>Zq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</si>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</sst>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Sheet1!$B$3:$B$10</c:f>
              <c:numCache>
                <c:formatCode>General</c:formatCode>
                <c:ptCount val="8"/>
                <c:pt idx="0">
                  <c:v>790</c:v>
                </c:pt>
                <c:pt idx="1">
                  <c:v>1023</c:v>
                </c:pt>
                <c:pt idx="2">
                  <c:v>850</c:v>
                </c:pt>
                <c:pt idx="3">
                  <c:v>656</c:v>
                </c:pt>
                <c:pt idx="4">
                  <c:v>329</c:v>
                </c:pt>
                <c:pt idx="5">
                  <c:v>245</c:v>
                </c:pt>
                <c:pt idx="6">
                  <c:v>122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A-4FB8-957C-4E925A04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379199"/>
        <c:axId val="1346374399"/>
      </c:barChart>
      <c:catAx>
        <c:axId val="134637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4399"/>
        <c:crosses val="autoZero"/>
        <c:auto val="1"/>
        <c:lblAlgn val="ctr"/>
        <c:lblOffset val="100"/>
        <c:noMultiLvlLbl val="0"/>
      </c:catAx>
      <c:valAx>
        <c:axId val="134637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Sheet1!$T$2:$T$9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Sheet1!$U$2:$U$9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790</c:v>
                </c:pt>
                <c:pt idx="4">
                  <c:v>1023</c:v>
                </c:pt>
                <c:pt idx="5">
                  <c:v>850</c:v>
                </c:pt>
                <c:pt idx="6">
                  <c:v>985</c:v>
                </c:pt>
                <c:pt idx="7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C60-9BB4-8EF339EF2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316655"/>
        <c:axId val="879318095"/>
      </c:barChart>
      <c:catAx>
        <c:axId val="87931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18095"/>
        <c:crosses val="autoZero"/>
        <c:auto val="1"/>
        <c:lblAlgn val="ctr"/>
        <c:lblOffset val="100"/>
        <c:noMultiLvlLbl val="0"/>
      </c:catAx>
      <c:valAx>
        <c:axId val="8793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1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Sheet1!$H$3:$H$10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Sheet1!$I$3:$I$10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614</c:v>
                </c:pt>
                <c:pt idx="4">
                  <c:v>819</c:v>
                </c:pt>
                <c:pt idx="5">
                  <c:v>1230</c:v>
                </c:pt>
                <c:pt idx="6">
                  <c:v>819</c:v>
                </c:pt>
                <c:pt idx="7">
                  <c:v>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F-4893-973F-7C7A210E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357407"/>
        <c:axId val="1353358367"/>
      </c:barChart>
      <c:catAx>
        <c:axId val="13533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58367"/>
        <c:crosses val="autoZero"/>
        <c:auto val="1"/>
        <c:lblAlgn val="ctr"/>
        <c:lblOffset val="100"/>
        <c:noMultiLvlLbl val="0"/>
      </c:catAx>
      <c:valAx>
        <c:axId val="13533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118110</xdr:rowOff>
    </xdr:from>
    <xdr:to>
      <xdr:col>7</xdr:col>
      <xdr:colOff>304800</xdr:colOff>
      <xdr:row>25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FD818-1BCE-BFD7-A773-9B11A3150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381000</xdr:colOff>
      <xdr:row>11</xdr:row>
      <xdr:rowOff>148590</xdr:rowOff>
    </xdr:from>
    <xdr:to>
      <xdr:col>23</xdr:col>
      <xdr:colOff>76200</xdr:colOff>
      <xdr:row>26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3DF94-2CD6-AF45-8AAB-859CD5D05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12</xdr:row>
      <xdr:rowOff>3810</xdr:rowOff>
    </xdr:from>
    <xdr:to>
      <xdr:col>15</xdr:col>
      <xdr:colOff>76200</xdr:colOff>
      <xdr:row>27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DFC00F-2F9D-6FC2-117B-B8EB045D4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A22F-1F76-47AD-87CE-DF51560D6C72}">
  <dimension ref="A1:U11"/>
  <sheetViews>
    <sheetView tabSelected="1" workbookViewId="0">
      <selection activeCell="W6" sqref="W6"/>
    </sheetView>
  </sheetViews>
  <sheetFormatPr defaultRowHeight="14.4" x14ac:dyDescent="0.3"/>
  <sheetData>
    <row r="1" spans="1:21" x14ac:dyDescent="0.3">
      <c r="A1" t="s">
        <v>6</v>
      </c>
      <c r="H1" t="s">
        <v>7</v>
      </c>
      <c r="O1" t="s">
        <v>0</v>
      </c>
      <c r="P1" t="s">
        <v>8</v>
      </c>
      <c r="Q1" t="s">
        <v>9</v>
      </c>
      <c r="R1" t="s">
        <v>10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s="4">
        <v>0</v>
      </c>
      <c r="P2">
        <v>1</v>
      </c>
      <c r="Q2">
        <v>0</v>
      </c>
      <c r="R2" s="3">
        <v>3</v>
      </c>
      <c r="S2">
        <v>790</v>
      </c>
      <c r="T2">
        <v>0</v>
      </c>
      <c r="U2">
        <v>0</v>
      </c>
    </row>
    <row r="3" spans="1:21" x14ac:dyDescent="0.3">
      <c r="A3">
        <v>0</v>
      </c>
      <c r="B3">
        <v>790</v>
      </c>
      <c r="C3">
        <f>B3/$B$11</f>
        <v>0.19287109375</v>
      </c>
      <c r="D3">
        <f>C3</f>
        <v>0.19287109375</v>
      </c>
      <c r="E3">
        <f>D3*7</f>
        <v>1.35009765625</v>
      </c>
      <c r="F3" s="1">
        <f>ROUND(E3,0)</f>
        <v>1</v>
      </c>
      <c r="H3">
        <v>0</v>
      </c>
      <c r="I3">
        <v>0</v>
      </c>
      <c r="J3">
        <f>I3/$I$11</f>
        <v>0</v>
      </c>
      <c r="K3">
        <f>J3</f>
        <v>0</v>
      </c>
      <c r="L3" s="2">
        <f>K3*7</f>
        <v>0</v>
      </c>
      <c r="M3" s="1">
        <f>ROUND(L3,0)</f>
        <v>0</v>
      </c>
      <c r="O3" s="4">
        <v>1</v>
      </c>
      <c r="P3">
        <v>3</v>
      </c>
      <c r="Q3">
        <v>0</v>
      </c>
      <c r="R3" s="3">
        <v>4</v>
      </c>
      <c r="S3">
        <v>1023</v>
      </c>
      <c r="T3">
        <v>1</v>
      </c>
      <c r="U3">
        <v>0</v>
      </c>
    </row>
    <row r="4" spans="1:21" x14ac:dyDescent="0.3">
      <c r="A4">
        <v>1</v>
      </c>
      <c r="B4">
        <v>1023</v>
      </c>
      <c r="C4">
        <f t="shared" ref="C4:C11" si="0">B4/$B$11</f>
        <v>0.249755859375</v>
      </c>
      <c r="D4">
        <f>D3+C4</f>
        <v>0.442626953125</v>
      </c>
      <c r="E4">
        <f t="shared" ref="E4:E10" si="1">D4*7</f>
        <v>3.098388671875</v>
      </c>
      <c r="F4" s="1">
        <f t="shared" ref="F4:F10" si="2">ROUND(E4,0)</f>
        <v>3</v>
      </c>
      <c r="H4">
        <v>1</v>
      </c>
      <c r="I4">
        <v>0</v>
      </c>
      <c r="J4">
        <f t="shared" ref="J4:J10" si="3">I4/$I$11</f>
        <v>0</v>
      </c>
      <c r="K4">
        <f>K3+J4</f>
        <v>0</v>
      </c>
      <c r="L4" s="2">
        <f t="shared" ref="L4:L10" si="4">K4*7</f>
        <v>0</v>
      </c>
      <c r="M4" s="1">
        <f t="shared" ref="M4:M10" si="5">ROUND(L4,0)</f>
        <v>0</v>
      </c>
      <c r="O4" s="4">
        <v>2</v>
      </c>
      <c r="P4">
        <v>5</v>
      </c>
      <c r="Q4">
        <v>0</v>
      </c>
      <c r="R4" s="3">
        <v>5</v>
      </c>
      <c r="S4">
        <v>850</v>
      </c>
      <c r="T4">
        <v>2</v>
      </c>
      <c r="U4">
        <v>0</v>
      </c>
    </row>
    <row r="5" spans="1:21" x14ac:dyDescent="0.3">
      <c r="A5">
        <v>2</v>
      </c>
      <c r="B5">
        <v>850</v>
      </c>
      <c r="C5">
        <f t="shared" si="0"/>
        <v>0.20751953125</v>
      </c>
      <c r="D5">
        <f t="shared" ref="D5:D10" si="6">D4+C5</f>
        <v>0.650146484375</v>
      </c>
      <c r="E5">
        <f t="shared" si="1"/>
        <v>4.551025390625</v>
      </c>
      <c r="F5" s="1">
        <f t="shared" si="2"/>
        <v>5</v>
      </c>
      <c r="H5">
        <v>2</v>
      </c>
      <c r="I5">
        <v>0</v>
      </c>
      <c r="J5">
        <f t="shared" si="3"/>
        <v>0</v>
      </c>
      <c r="K5">
        <f t="shared" ref="K5:K10" si="7">K4+J5</f>
        <v>0</v>
      </c>
      <c r="L5" s="2">
        <f t="shared" si="4"/>
        <v>0</v>
      </c>
      <c r="M5" s="1">
        <f t="shared" si="5"/>
        <v>0</v>
      </c>
      <c r="O5" s="4">
        <v>3</v>
      </c>
      <c r="P5">
        <v>6</v>
      </c>
      <c r="Q5">
        <v>1</v>
      </c>
      <c r="R5" s="3">
        <v>6</v>
      </c>
      <c r="T5">
        <v>3</v>
      </c>
      <c r="U5">
        <v>790</v>
      </c>
    </row>
    <row r="6" spans="1:21" x14ac:dyDescent="0.3">
      <c r="A6">
        <v>3</v>
      </c>
      <c r="B6">
        <v>656</v>
      </c>
      <c r="C6">
        <f t="shared" si="0"/>
        <v>0.16015625</v>
      </c>
      <c r="D6">
        <f t="shared" si="6"/>
        <v>0.810302734375</v>
      </c>
      <c r="E6">
        <f t="shared" si="1"/>
        <v>5.672119140625</v>
      </c>
      <c r="F6" s="1">
        <f t="shared" si="2"/>
        <v>6</v>
      </c>
      <c r="H6">
        <v>3</v>
      </c>
      <c r="I6">
        <v>614</v>
      </c>
      <c r="J6">
        <f t="shared" si="3"/>
        <v>0.14990234375</v>
      </c>
      <c r="K6">
        <f t="shared" si="7"/>
        <v>0.14990234375</v>
      </c>
      <c r="L6" s="2">
        <f t="shared" si="4"/>
        <v>1.04931640625</v>
      </c>
      <c r="M6" s="1">
        <f t="shared" si="5"/>
        <v>1</v>
      </c>
      <c r="O6" s="4">
        <v>4</v>
      </c>
      <c r="P6">
        <v>6</v>
      </c>
      <c r="Q6">
        <v>2</v>
      </c>
      <c r="R6" s="3">
        <v>6</v>
      </c>
      <c r="S6">
        <f>B6+B7</f>
        <v>985</v>
      </c>
      <c r="T6">
        <v>4</v>
      </c>
      <c r="U6">
        <v>1023</v>
      </c>
    </row>
    <row r="7" spans="1:21" x14ac:dyDescent="0.3">
      <c r="A7">
        <v>4</v>
      </c>
      <c r="B7">
        <v>329</v>
      </c>
      <c r="C7">
        <f t="shared" si="0"/>
        <v>8.0322265625E-2</v>
      </c>
      <c r="D7">
        <f t="shared" si="6"/>
        <v>0.890625</v>
      </c>
      <c r="E7">
        <f t="shared" si="1"/>
        <v>6.234375</v>
      </c>
      <c r="F7" s="1">
        <f t="shared" si="2"/>
        <v>6</v>
      </c>
      <c r="H7">
        <v>4</v>
      </c>
      <c r="I7">
        <v>819</v>
      </c>
      <c r="J7">
        <f t="shared" si="3"/>
        <v>0.199951171875</v>
      </c>
      <c r="K7">
        <f t="shared" si="7"/>
        <v>0.349853515625</v>
      </c>
      <c r="L7" s="2">
        <f t="shared" si="4"/>
        <v>2.448974609375</v>
      </c>
      <c r="M7" s="1">
        <f t="shared" si="5"/>
        <v>2</v>
      </c>
      <c r="O7" s="4">
        <v>5</v>
      </c>
      <c r="P7">
        <v>7</v>
      </c>
      <c r="Q7">
        <v>5</v>
      </c>
      <c r="R7" s="3">
        <v>7</v>
      </c>
      <c r="T7">
        <v>5</v>
      </c>
      <c r="U7">
        <v>850</v>
      </c>
    </row>
    <row r="8" spans="1:21" x14ac:dyDescent="0.3">
      <c r="A8">
        <v>5</v>
      </c>
      <c r="B8">
        <v>245</v>
      </c>
      <c r="C8">
        <f t="shared" si="0"/>
        <v>5.9814453125E-2</v>
      </c>
      <c r="D8">
        <f t="shared" si="6"/>
        <v>0.950439453125</v>
      </c>
      <c r="E8">
        <f t="shared" si="1"/>
        <v>6.653076171875</v>
      </c>
      <c r="F8" s="1">
        <f t="shared" si="2"/>
        <v>7</v>
      </c>
      <c r="H8">
        <v>5</v>
      </c>
      <c r="I8">
        <v>1230</v>
      </c>
      <c r="J8">
        <f t="shared" si="3"/>
        <v>0.30029296875</v>
      </c>
      <c r="K8">
        <f t="shared" si="7"/>
        <v>0.650146484375</v>
      </c>
      <c r="L8" s="2">
        <f t="shared" si="4"/>
        <v>4.551025390625</v>
      </c>
      <c r="M8" s="1">
        <f t="shared" si="5"/>
        <v>5</v>
      </c>
      <c r="O8" s="4">
        <v>6</v>
      </c>
      <c r="P8">
        <v>7</v>
      </c>
      <c r="Q8">
        <v>6</v>
      </c>
      <c r="R8" s="3">
        <v>7</v>
      </c>
      <c r="T8">
        <v>6</v>
      </c>
      <c r="U8">
        <v>985</v>
      </c>
    </row>
    <row r="9" spans="1:21" x14ac:dyDescent="0.3">
      <c r="A9">
        <v>6</v>
      </c>
      <c r="B9">
        <v>122</v>
      </c>
      <c r="C9">
        <f t="shared" si="0"/>
        <v>2.978515625E-2</v>
      </c>
      <c r="D9">
        <f t="shared" si="6"/>
        <v>0.980224609375</v>
      </c>
      <c r="E9">
        <f t="shared" si="1"/>
        <v>6.861572265625</v>
      </c>
      <c r="F9" s="1">
        <f t="shared" si="2"/>
        <v>7</v>
      </c>
      <c r="H9">
        <v>6</v>
      </c>
      <c r="I9">
        <v>819</v>
      </c>
      <c r="J9">
        <f t="shared" si="3"/>
        <v>0.199951171875</v>
      </c>
      <c r="K9">
        <f t="shared" si="7"/>
        <v>0.85009765625</v>
      </c>
      <c r="L9" s="2">
        <f t="shared" si="4"/>
        <v>5.95068359375</v>
      </c>
      <c r="M9" s="1">
        <f t="shared" si="5"/>
        <v>6</v>
      </c>
      <c r="O9" s="4">
        <v>7</v>
      </c>
      <c r="P9">
        <v>7</v>
      </c>
      <c r="Q9">
        <v>7</v>
      </c>
      <c r="R9" s="3">
        <v>7</v>
      </c>
      <c r="S9">
        <f>B10+B9+B8</f>
        <v>448</v>
      </c>
      <c r="T9">
        <v>7</v>
      </c>
      <c r="U9">
        <v>448</v>
      </c>
    </row>
    <row r="10" spans="1:21" x14ac:dyDescent="0.3">
      <c r="A10">
        <v>7</v>
      </c>
      <c r="B10">
        <v>81</v>
      </c>
      <c r="C10">
        <f t="shared" si="0"/>
        <v>1.9775390625E-2</v>
      </c>
      <c r="D10">
        <f t="shared" si="6"/>
        <v>1</v>
      </c>
      <c r="E10">
        <f t="shared" si="1"/>
        <v>7</v>
      </c>
      <c r="F10" s="1">
        <f t="shared" si="2"/>
        <v>7</v>
      </c>
      <c r="H10">
        <v>7</v>
      </c>
      <c r="I10">
        <v>614</v>
      </c>
      <c r="J10">
        <f t="shared" si="3"/>
        <v>0.14990234375</v>
      </c>
      <c r="K10">
        <f t="shared" si="7"/>
        <v>1</v>
      </c>
      <c r="L10" s="2">
        <f t="shared" si="4"/>
        <v>7</v>
      </c>
      <c r="M10" s="1">
        <f t="shared" si="5"/>
        <v>7</v>
      </c>
      <c r="S10">
        <f>SUM(S2:S9)</f>
        <v>4096</v>
      </c>
    </row>
    <row r="11" spans="1:21" x14ac:dyDescent="0.3">
      <c r="B11">
        <f>SUM(B3:B10)</f>
        <v>4096</v>
      </c>
      <c r="C11">
        <f t="shared" si="0"/>
        <v>1</v>
      </c>
      <c r="I11">
        <f>SUM(I6:I10)</f>
        <v>4096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 Prasad Upadhyay [MCA - 2023]</dc:creator>
  <cp:lastModifiedBy>Thakur Prasad Upadhyay [MCA - 2023]</cp:lastModifiedBy>
  <dcterms:created xsi:type="dcterms:W3CDTF">2025-12-16T05:34:50Z</dcterms:created>
  <dcterms:modified xsi:type="dcterms:W3CDTF">2025-12-17T02:09:31Z</dcterms:modified>
</cp:coreProperties>
</file>